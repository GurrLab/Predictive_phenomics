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urrs\Documents\6_Github_repositories\GurrLab\Predictive_phenomics\priming_room\temperature_testing\"/>
    </mc:Choice>
  </mc:AlternateContent>
  <xr:revisionPtr revIDLastSave="0" documentId="13_ncr:1_{62700ECD-DAE8-4E7A-B6B6-DAF62B901A2C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ata_Raw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" i="1" l="1"/>
  <c r="AE16" i="1"/>
  <c r="AE14" i="1"/>
  <c r="AE15" i="1"/>
  <c r="AE6" i="1"/>
  <c r="AE7" i="1"/>
  <c r="AE8" i="1"/>
  <c r="AE9" i="1"/>
  <c r="AE10" i="1"/>
  <c r="AE11" i="1"/>
  <c r="AE12" i="1"/>
  <c r="AE13" i="1"/>
</calcChain>
</file>

<file path=xl/sharedStrings.xml><?xml version="1.0" encoding="utf-8"?>
<sst xmlns="http://schemas.openxmlformats.org/spreadsheetml/2006/main" count="20" uniqueCount="14">
  <si>
    <t>Date</t>
  </si>
  <si>
    <t>Time</t>
  </si>
  <si>
    <t>Tytan</t>
  </si>
  <si>
    <t>H1</t>
  </si>
  <si>
    <t>H2</t>
  </si>
  <si>
    <t>T1</t>
  </si>
  <si>
    <t>T2</t>
  </si>
  <si>
    <t>T3</t>
  </si>
  <si>
    <t>T4</t>
  </si>
  <si>
    <t>Room</t>
  </si>
  <si>
    <t>Status</t>
  </si>
  <si>
    <t>equilibrated</t>
  </si>
  <si>
    <t>Tytan setting</t>
  </si>
  <si>
    <t>Target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</si>
</sst>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2299373796962176E-2"/>
          <c:y val="2.8903819241431782E-2"/>
          <c:w val="0.94673289915655645"/>
          <c:h val="0.9011539451551168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811833734262314"/>
                  <c:y val="0.123218187392547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(Data_Raw!$C$2,Data_Raw!$C$9,Data_Raw!$C$13,Data_Raw!$C$23,Data_Raw!$C$30,Data_Raw!$C$39,Data_Raw!$C$43,Data_Raw!$C$49,Data_Raw!$C$54)</c:f>
              <c:numCache>
                <c:formatCode>General</c:formatCode>
                <c:ptCount val="9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27</c:v>
                </c:pt>
                <c:pt idx="4">
                  <c:v>29</c:v>
                </c:pt>
                <c:pt idx="5">
                  <c:v>31</c:v>
                </c:pt>
                <c:pt idx="6">
                  <c:v>33</c:v>
                </c:pt>
                <c:pt idx="7">
                  <c:v>35</c:v>
                </c:pt>
                <c:pt idx="8">
                  <c:v>38</c:v>
                </c:pt>
              </c:numCache>
            </c:numRef>
          </c:xVal>
          <c:yVal>
            <c:numRef>
              <c:f>(Data_Raw!$F$2,Data_Raw!$F$9,Data_Raw!$F$13,Data_Raw!$F$23,Data_Raw!$F$30,Data_Raw!$F$39,Data_Raw!$F$43,Data_Raw!$F$49,Data_Raw!$F$54)</c:f>
              <c:numCache>
                <c:formatCode>General</c:formatCode>
                <c:ptCount val="9"/>
                <c:pt idx="0">
                  <c:v>21.68</c:v>
                </c:pt>
                <c:pt idx="1">
                  <c:v>22.89</c:v>
                </c:pt>
                <c:pt idx="2">
                  <c:v>24.64</c:v>
                </c:pt>
                <c:pt idx="3">
                  <c:v>26.5</c:v>
                </c:pt>
                <c:pt idx="4">
                  <c:v>28.16</c:v>
                </c:pt>
                <c:pt idx="5">
                  <c:v>30.22</c:v>
                </c:pt>
                <c:pt idx="6">
                  <c:v>32.03</c:v>
                </c:pt>
                <c:pt idx="7">
                  <c:v>33.81</c:v>
                </c:pt>
                <c:pt idx="8">
                  <c:v>36.5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20-4599-A4EB-30AB4338D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859871"/>
        <c:axId val="703856511"/>
      </c:scatterChart>
      <c:valAx>
        <c:axId val="703859871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56511"/>
        <c:crosses val="autoZero"/>
        <c:crossBetween val="midCat"/>
      </c:valAx>
      <c:valAx>
        <c:axId val="703856511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59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476249</xdr:colOff>
      <xdr:row>0</xdr:row>
      <xdr:rowOff>180415</xdr:rowOff>
    </xdr:from>
    <xdr:to>
      <xdr:col>26</xdr:col>
      <xdr:colOff>302558</xdr:colOff>
      <xdr:row>25</xdr:row>
      <xdr:rowOff>56029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FFA0A-4038-7770-DDA5-67546E90B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298450</xdr:colOff>
      <xdr:row>1</xdr:row>
      <xdr:rowOff>88900</xdr:rowOff>
    </xdr:from>
    <xdr:to>
      <xdr:col>8</xdr:col>
      <xdr:colOff>69850</xdr:colOff>
      <xdr:row>19</xdr:row>
      <xdr:rowOff>6350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98450" y="273050"/>
          <a:ext cx="4648200" cy="3232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Hormetic Priming System Temperature Testing</a:t>
          </a:r>
        </a:p>
        <a:p>
          <a:pPr algn="ctr"/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Test 1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Tytan instant seawater heater was set to 22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°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C, downstream temperatures stabilized and then temperature increased to 23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°.</a:t>
          </a:r>
        </a:p>
        <a:p>
          <a:pPr algn="l"/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Arial" panose="020B0604020202020204" pitchFamily="34" charset="0"/>
          </a:endParaRPr>
        </a:p>
        <a:p>
          <a:pPr algn="l"/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- After stabilizing at 23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°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, Tytan was set to 25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°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 and increased by 2 degree increments (w/post stabilization periods) until 38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°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 was achieved</a:t>
          </a:r>
        </a:p>
        <a:p>
          <a:pPr algn="l"/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Arial" panose="020B0604020202020204" pitchFamily="34" charset="0"/>
          </a:endParaRPr>
        </a:p>
        <a:p>
          <a:pPr algn="l"/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- Room heater was left off and A/C unit set to 40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°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 to keep it from turning on. A/C unit continued to run an intermittent fan, but was not cooling.</a:t>
          </a:r>
          <a:endParaRPr lang="en-US" sz="1100">
            <a:latin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4"/>
  <sheetViews>
    <sheetView tabSelected="1" topLeftCell="X1" zoomScale="78" zoomScaleNormal="130" workbookViewId="0">
      <selection activeCell="AQ23" sqref="AQ23"/>
    </sheetView>
  </sheetViews>
  <sheetFormatPr defaultRowHeight="14.4" x14ac:dyDescent="0.55000000000000004"/>
  <cols>
    <col min="1" max="1" width="9.41796875" bestFit="1" customWidth="1"/>
    <col min="11" max="11" width="12.15625" customWidth="1"/>
    <col min="30" max="30" width="11.68359375" bestFit="1" customWidth="1"/>
    <col min="31" max="31" width="12.41796875" bestFit="1" customWidth="1"/>
    <col min="35" max="35" width="17.41796875" customWidth="1"/>
    <col min="36" max="36" width="22.83984375" customWidth="1"/>
  </cols>
  <sheetData>
    <row r="1" spans="1:3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31" x14ac:dyDescent="0.55000000000000004">
      <c r="A2" s="2">
        <v>46076</v>
      </c>
      <c r="B2">
        <v>1245</v>
      </c>
      <c r="C2">
        <v>22</v>
      </c>
      <c r="D2">
        <v>22.11</v>
      </c>
      <c r="E2">
        <v>21.96</v>
      </c>
      <c r="F2">
        <v>21.68</v>
      </c>
      <c r="G2">
        <v>21.46</v>
      </c>
      <c r="H2">
        <v>21.42</v>
      </c>
      <c r="I2">
        <v>21.59</v>
      </c>
    </row>
    <row r="3" spans="1:31" x14ac:dyDescent="0.55000000000000004">
      <c r="A3" s="2">
        <v>46076</v>
      </c>
      <c r="B3">
        <v>1300</v>
      </c>
      <c r="C3">
        <v>23</v>
      </c>
    </row>
    <row r="4" spans="1:31" x14ac:dyDescent="0.55000000000000004">
      <c r="A4" s="2">
        <v>46076</v>
      </c>
      <c r="B4">
        <v>1314</v>
      </c>
      <c r="C4">
        <v>23</v>
      </c>
      <c r="D4">
        <v>22.56</v>
      </c>
      <c r="E4">
        <v>22.32</v>
      </c>
      <c r="F4">
        <v>21.98</v>
      </c>
      <c r="G4">
        <v>21.45</v>
      </c>
      <c r="H4">
        <v>21.77</v>
      </c>
      <c r="I4">
        <v>21.86</v>
      </c>
      <c r="AD4" t="s">
        <v>13</v>
      </c>
      <c r="AE4" t="s">
        <v>12</v>
      </c>
    </row>
    <row r="5" spans="1:31" x14ac:dyDescent="0.55000000000000004">
      <c r="A5" s="2">
        <v>46076</v>
      </c>
      <c r="B5">
        <v>1335</v>
      </c>
      <c r="C5">
        <v>23</v>
      </c>
      <c r="D5">
        <v>22.95</v>
      </c>
      <c r="E5">
        <v>22.69</v>
      </c>
      <c r="F5">
        <v>22.19</v>
      </c>
      <c r="G5">
        <v>21.61</v>
      </c>
      <c r="H5">
        <v>22.15</v>
      </c>
      <c r="I5">
        <v>22.05</v>
      </c>
      <c r="AD5">
        <v>22</v>
      </c>
      <c r="AE5" s="3">
        <f>(AD5/0.9202)-1.6024</f>
        <v>22.305446120408607</v>
      </c>
    </row>
    <row r="6" spans="1:31" x14ac:dyDescent="0.55000000000000004">
      <c r="A6" s="2">
        <v>46076</v>
      </c>
      <c r="B6">
        <v>1415</v>
      </c>
      <c r="C6">
        <v>23</v>
      </c>
      <c r="D6">
        <v>23.1</v>
      </c>
      <c r="E6">
        <v>22.96</v>
      </c>
      <c r="F6">
        <v>22.72</v>
      </c>
      <c r="G6">
        <v>22.64</v>
      </c>
      <c r="H6">
        <v>22.69</v>
      </c>
      <c r="I6">
        <v>22.7</v>
      </c>
      <c r="AD6">
        <v>24</v>
      </c>
      <c r="AE6" s="3">
        <f t="shared" ref="AE6:AE15" si="0">(AD6/0.9202)-1.6024</f>
        <v>24.478886676809388</v>
      </c>
    </row>
    <row r="7" spans="1:31" x14ac:dyDescent="0.55000000000000004">
      <c r="A7" s="2">
        <v>46076</v>
      </c>
      <c r="B7">
        <v>1435</v>
      </c>
      <c r="C7">
        <v>23</v>
      </c>
      <c r="D7">
        <v>23.12</v>
      </c>
      <c r="E7">
        <v>23.02</v>
      </c>
      <c r="F7">
        <v>22.81</v>
      </c>
      <c r="G7">
        <v>22.73</v>
      </c>
      <c r="H7">
        <v>22.76</v>
      </c>
      <c r="I7">
        <v>22.77</v>
      </c>
      <c r="AD7">
        <v>26</v>
      </c>
      <c r="AE7" s="3">
        <f t="shared" si="0"/>
        <v>26.652327233210173</v>
      </c>
    </row>
    <row r="8" spans="1:31" x14ac:dyDescent="0.55000000000000004">
      <c r="A8" s="2">
        <v>46076</v>
      </c>
      <c r="B8">
        <v>1510</v>
      </c>
      <c r="C8">
        <v>23</v>
      </c>
      <c r="D8">
        <v>23.17</v>
      </c>
      <c r="E8">
        <v>23.08</v>
      </c>
      <c r="F8">
        <v>22.88</v>
      </c>
      <c r="G8">
        <v>22.8</v>
      </c>
      <c r="H8">
        <v>22.82</v>
      </c>
      <c r="I8">
        <v>22.83</v>
      </c>
      <c r="J8">
        <v>19.809999999999999</v>
      </c>
      <c r="AD8">
        <v>28</v>
      </c>
      <c r="AE8" s="3">
        <f t="shared" si="0"/>
        <v>28.825767789610953</v>
      </c>
    </row>
    <row r="9" spans="1:31" x14ac:dyDescent="0.55000000000000004">
      <c r="A9" s="2">
        <v>46076</v>
      </c>
      <c r="B9">
        <v>1530</v>
      </c>
      <c r="C9">
        <v>23</v>
      </c>
      <c r="D9">
        <v>23.17</v>
      </c>
      <c r="E9">
        <v>23.08</v>
      </c>
      <c r="F9">
        <v>22.89</v>
      </c>
      <c r="G9">
        <v>22.79</v>
      </c>
      <c r="H9">
        <v>22.82</v>
      </c>
      <c r="I9">
        <v>22.84</v>
      </c>
      <c r="J9">
        <v>20.059999999999999</v>
      </c>
      <c r="K9" t="s">
        <v>11</v>
      </c>
      <c r="AD9">
        <v>30</v>
      </c>
      <c r="AE9" s="3">
        <f t="shared" si="0"/>
        <v>30.999208346011738</v>
      </c>
    </row>
    <row r="10" spans="1:31" x14ac:dyDescent="0.55000000000000004">
      <c r="A10" s="2">
        <v>46077</v>
      </c>
      <c r="B10">
        <v>955</v>
      </c>
      <c r="C10">
        <v>25</v>
      </c>
      <c r="J10">
        <v>18.989999999999998</v>
      </c>
      <c r="AD10">
        <v>32</v>
      </c>
      <c r="AE10" s="3">
        <f t="shared" si="0"/>
        <v>33.172648902412519</v>
      </c>
    </row>
    <row r="11" spans="1:31" x14ac:dyDescent="0.55000000000000004">
      <c r="A11" s="2">
        <v>46077</v>
      </c>
      <c r="B11">
        <v>1100</v>
      </c>
      <c r="C11">
        <v>25</v>
      </c>
      <c r="D11">
        <v>24.99</v>
      </c>
      <c r="E11">
        <v>24.75</v>
      </c>
      <c r="F11">
        <v>24.35</v>
      </c>
      <c r="G11">
        <v>24.36</v>
      </c>
      <c r="H11">
        <v>24.35</v>
      </c>
      <c r="I11">
        <v>24.28</v>
      </c>
      <c r="J11">
        <v>19.61</v>
      </c>
      <c r="AD11">
        <v>34</v>
      </c>
      <c r="AE11" s="3">
        <f t="shared" si="0"/>
        <v>35.346089458813296</v>
      </c>
    </row>
    <row r="12" spans="1:31" x14ac:dyDescent="0.55000000000000004">
      <c r="A12" s="2">
        <v>46077</v>
      </c>
      <c r="B12">
        <v>1120</v>
      </c>
      <c r="C12">
        <v>25</v>
      </c>
      <c r="D12">
        <v>25.04</v>
      </c>
      <c r="E12">
        <v>24.83</v>
      </c>
      <c r="F12">
        <v>24.49</v>
      </c>
      <c r="G12">
        <v>24.44</v>
      </c>
      <c r="H12">
        <v>24.42</v>
      </c>
      <c r="I12">
        <v>24.41</v>
      </c>
      <c r="J12">
        <v>19.899999999999999</v>
      </c>
      <c r="AD12">
        <v>36</v>
      </c>
      <c r="AE12" s="3">
        <f t="shared" si="0"/>
        <v>37.51953001521408</v>
      </c>
    </row>
    <row r="13" spans="1:31" x14ac:dyDescent="0.55000000000000004">
      <c r="A13" s="2">
        <v>46077</v>
      </c>
      <c r="B13">
        <v>1210</v>
      </c>
      <c r="C13">
        <v>25</v>
      </c>
      <c r="D13">
        <v>25.1</v>
      </c>
      <c r="E13">
        <v>24.94</v>
      </c>
      <c r="F13">
        <v>24.64</v>
      </c>
      <c r="G13">
        <v>24.6</v>
      </c>
      <c r="H13">
        <v>24.57</v>
      </c>
      <c r="I13">
        <v>24.56</v>
      </c>
      <c r="J13">
        <v>20.34</v>
      </c>
      <c r="K13" t="s">
        <v>11</v>
      </c>
      <c r="AD13">
        <v>38</v>
      </c>
      <c r="AE13" s="3">
        <f t="shared" si="0"/>
        <v>39.692970571614865</v>
      </c>
    </row>
    <row r="14" spans="1:31" x14ac:dyDescent="0.55000000000000004">
      <c r="A14" s="2">
        <v>46077</v>
      </c>
      <c r="B14">
        <v>1230</v>
      </c>
      <c r="C14">
        <v>27</v>
      </c>
      <c r="J14">
        <v>20.440000000000001</v>
      </c>
      <c r="AD14">
        <v>40</v>
      </c>
      <c r="AE14" s="3">
        <f>(AD14/0.9202)-1.6024</f>
        <v>41.866411128015642</v>
      </c>
    </row>
    <row r="15" spans="1:31" x14ac:dyDescent="0.55000000000000004">
      <c r="A15" s="2">
        <v>46077</v>
      </c>
      <c r="B15">
        <v>1310</v>
      </c>
      <c r="C15">
        <v>27</v>
      </c>
      <c r="D15">
        <v>26.45</v>
      </c>
      <c r="E15">
        <v>25.98</v>
      </c>
      <c r="F15">
        <v>25.3</v>
      </c>
      <c r="G15">
        <v>25.27</v>
      </c>
      <c r="H15">
        <v>25.27</v>
      </c>
      <c r="I15">
        <v>25.25</v>
      </c>
      <c r="J15">
        <v>20.63</v>
      </c>
      <c r="AD15">
        <v>42</v>
      </c>
      <c r="AE15" s="3">
        <f t="shared" si="0"/>
        <v>44.039851684416426</v>
      </c>
    </row>
    <row r="16" spans="1:31" x14ac:dyDescent="0.55000000000000004">
      <c r="A16" s="2">
        <v>46077</v>
      </c>
      <c r="B16">
        <v>1410</v>
      </c>
      <c r="C16">
        <v>27</v>
      </c>
      <c r="D16">
        <v>27</v>
      </c>
      <c r="E16">
        <v>26.77</v>
      </c>
      <c r="F16">
        <v>26.33</v>
      </c>
      <c r="G16">
        <v>26.29</v>
      </c>
      <c r="H16">
        <v>26.24</v>
      </c>
      <c r="I16">
        <v>26.24</v>
      </c>
      <c r="J16">
        <v>21.03</v>
      </c>
      <c r="AD16">
        <v>44</v>
      </c>
      <c r="AE16" s="3">
        <f>(AD16/0.9202)-1.6024</f>
        <v>46.213292240817211</v>
      </c>
    </row>
    <row r="17" spans="1:11" x14ac:dyDescent="0.55000000000000004">
      <c r="A17" s="2">
        <v>46077</v>
      </c>
      <c r="B17">
        <v>1445</v>
      </c>
      <c r="C17">
        <v>27</v>
      </c>
      <c r="D17">
        <v>27.06</v>
      </c>
      <c r="E17">
        <v>26.88</v>
      </c>
      <c r="F17">
        <v>26.44</v>
      </c>
      <c r="G17">
        <v>26.43</v>
      </c>
      <c r="H17">
        <v>26.4</v>
      </c>
      <c r="J17">
        <v>21.14</v>
      </c>
    </row>
    <row r="18" spans="1:11" x14ac:dyDescent="0.55000000000000004">
      <c r="A18" s="2">
        <v>46077</v>
      </c>
      <c r="B18">
        <v>1610</v>
      </c>
      <c r="C18">
        <v>27</v>
      </c>
      <c r="D18">
        <v>27.05</v>
      </c>
      <c r="E18">
        <v>26.9</v>
      </c>
      <c r="F18">
        <v>26.45</v>
      </c>
      <c r="G18">
        <v>26.42</v>
      </c>
      <c r="H18">
        <v>26.41</v>
      </c>
      <c r="I18">
        <v>26.39</v>
      </c>
    </row>
    <row r="19" spans="1:11" x14ac:dyDescent="0.55000000000000004">
      <c r="A19" s="2">
        <v>46077</v>
      </c>
      <c r="B19">
        <v>1715</v>
      </c>
      <c r="C19">
        <v>27</v>
      </c>
      <c r="D19">
        <v>27.08</v>
      </c>
      <c r="E19">
        <v>26.93</v>
      </c>
      <c r="F19">
        <v>26.53</v>
      </c>
      <c r="G19">
        <v>26.51</v>
      </c>
      <c r="H19">
        <v>26.48</v>
      </c>
      <c r="I19">
        <v>26.46</v>
      </c>
      <c r="J19">
        <v>21.54</v>
      </c>
    </row>
    <row r="20" spans="1:11" x14ac:dyDescent="0.55000000000000004">
      <c r="A20" s="2">
        <v>46078</v>
      </c>
      <c r="B20">
        <v>1300</v>
      </c>
      <c r="C20">
        <v>27</v>
      </c>
      <c r="D20">
        <v>27.06</v>
      </c>
      <c r="E20">
        <v>26.85</v>
      </c>
      <c r="F20">
        <v>26.4</v>
      </c>
      <c r="G20">
        <v>26.28</v>
      </c>
      <c r="H20">
        <v>26.32</v>
      </c>
      <c r="I20">
        <v>26.29</v>
      </c>
      <c r="J20">
        <v>22</v>
      </c>
    </row>
    <row r="21" spans="1:11" x14ac:dyDescent="0.55000000000000004">
      <c r="A21" s="2">
        <v>46078</v>
      </c>
      <c r="B21">
        <v>1500</v>
      </c>
      <c r="C21">
        <v>27</v>
      </c>
      <c r="D21">
        <v>27.1</v>
      </c>
      <c r="E21">
        <v>26.98</v>
      </c>
      <c r="F21">
        <v>26.48</v>
      </c>
      <c r="G21">
        <v>26.3</v>
      </c>
      <c r="H21">
        <v>26.6</v>
      </c>
      <c r="I21">
        <v>26.43</v>
      </c>
      <c r="J21">
        <v>22.18</v>
      </c>
    </row>
    <row r="22" spans="1:11" x14ac:dyDescent="0.55000000000000004">
      <c r="A22" s="2">
        <v>46078</v>
      </c>
      <c r="B22">
        <v>1615</v>
      </c>
      <c r="C22">
        <v>27</v>
      </c>
      <c r="D22">
        <v>27.08</v>
      </c>
      <c r="E22">
        <v>26.95</v>
      </c>
      <c r="F22">
        <v>26.46</v>
      </c>
      <c r="G22">
        <v>26.34</v>
      </c>
      <c r="H22">
        <v>26.56</v>
      </c>
      <c r="I22">
        <v>26.41</v>
      </c>
      <c r="J22">
        <v>22.1</v>
      </c>
    </row>
    <row r="23" spans="1:11" x14ac:dyDescent="0.55000000000000004">
      <c r="A23" s="2">
        <v>46079</v>
      </c>
      <c r="B23">
        <v>930</v>
      </c>
      <c r="C23">
        <v>27</v>
      </c>
      <c r="D23">
        <v>27.1</v>
      </c>
      <c r="E23">
        <v>26.95</v>
      </c>
      <c r="F23">
        <v>26.5</v>
      </c>
      <c r="G23">
        <v>26.33</v>
      </c>
      <c r="H23">
        <v>26.49</v>
      </c>
      <c r="I23">
        <v>26.16</v>
      </c>
      <c r="J23">
        <v>22.14</v>
      </c>
      <c r="K23" t="s">
        <v>11</v>
      </c>
    </row>
    <row r="24" spans="1:11" x14ac:dyDescent="0.55000000000000004">
      <c r="A24" s="2">
        <v>46079</v>
      </c>
      <c r="B24">
        <v>935</v>
      </c>
      <c r="C24">
        <v>29</v>
      </c>
    </row>
    <row r="25" spans="1:11" x14ac:dyDescent="0.55000000000000004">
      <c r="A25" s="2">
        <v>46079</v>
      </c>
      <c r="B25">
        <v>1003</v>
      </c>
      <c r="C25">
        <v>29</v>
      </c>
      <c r="D25">
        <v>28.25</v>
      </c>
      <c r="E25">
        <v>27.67</v>
      </c>
      <c r="F25">
        <v>26.73</v>
      </c>
      <c r="G25">
        <v>26.78</v>
      </c>
      <c r="H25">
        <v>26.81</v>
      </c>
      <c r="I25">
        <v>26.53</v>
      </c>
      <c r="J25">
        <v>21.77</v>
      </c>
    </row>
    <row r="26" spans="1:11" x14ac:dyDescent="0.55000000000000004">
      <c r="A26" s="2">
        <v>46079</v>
      </c>
      <c r="B26">
        <v>1030</v>
      </c>
      <c r="C26">
        <v>29</v>
      </c>
      <c r="D26">
        <v>28.7</v>
      </c>
      <c r="E26">
        <v>28.25</v>
      </c>
      <c r="F26">
        <v>27.42</v>
      </c>
      <c r="G26">
        <v>26.93</v>
      </c>
      <c r="H26">
        <v>27.46</v>
      </c>
      <c r="I26">
        <v>27.05</v>
      </c>
      <c r="J26">
        <v>22.09</v>
      </c>
    </row>
    <row r="27" spans="1:11" x14ac:dyDescent="0.55000000000000004">
      <c r="A27" s="2">
        <v>46079</v>
      </c>
      <c r="B27">
        <v>1054</v>
      </c>
      <c r="C27">
        <v>29</v>
      </c>
      <c r="D27">
        <v>28.87</v>
      </c>
      <c r="E27">
        <v>28.56</v>
      </c>
      <c r="F27">
        <v>27.79</v>
      </c>
      <c r="G27">
        <v>27.48</v>
      </c>
      <c r="H27">
        <v>27.85</v>
      </c>
      <c r="I27">
        <v>27.4</v>
      </c>
      <c r="J27">
        <v>21.99</v>
      </c>
    </row>
    <row r="28" spans="1:11" x14ac:dyDescent="0.55000000000000004">
      <c r="A28" s="2">
        <v>46079</v>
      </c>
      <c r="B28">
        <v>1115</v>
      </c>
      <c r="C28">
        <v>28.9</v>
      </c>
      <c r="D28">
        <v>28.96</v>
      </c>
      <c r="E28">
        <v>28.68</v>
      </c>
      <c r="F28">
        <v>27.97</v>
      </c>
      <c r="G28">
        <v>27.99</v>
      </c>
      <c r="H28">
        <v>28.04</v>
      </c>
      <c r="I28">
        <v>27.66</v>
      </c>
      <c r="J28">
        <v>22.04</v>
      </c>
    </row>
    <row r="29" spans="1:11" x14ac:dyDescent="0.55000000000000004">
      <c r="A29" s="2">
        <v>46079</v>
      </c>
      <c r="B29">
        <v>1135</v>
      </c>
      <c r="C29">
        <v>29</v>
      </c>
      <c r="D29">
        <v>28.98</v>
      </c>
      <c r="E29">
        <v>28.75</v>
      </c>
      <c r="F29">
        <v>28.27</v>
      </c>
      <c r="G29">
        <v>27.78</v>
      </c>
      <c r="H29">
        <v>28.23</v>
      </c>
      <c r="I29">
        <v>27.87</v>
      </c>
      <c r="J29">
        <v>22.46</v>
      </c>
    </row>
    <row r="30" spans="1:11" x14ac:dyDescent="0.55000000000000004">
      <c r="A30" s="2">
        <v>46079</v>
      </c>
      <c r="B30">
        <v>1156</v>
      </c>
      <c r="C30">
        <v>29</v>
      </c>
      <c r="D30">
        <v>29.01</v>
      </c>
      <c r="E30">
        <v>28.8</v>
      </c>
      <c r="F30">
        <v>28.16</v>
      </c>
      <c r="G30">
        <v>28.09</v>
      </c>
      <c r="H30">
        <v>28.16</v>
      </c>
      <c r="I30">
        <v>27.68</v>
      </c>
      <c r="J30">
        <v>22.36</v>
      </c>
      <c r="K30" t="s">
        <v>11</v>
      </c>
    </row>
    <row r="31" spans="1:11" x14ac:dyDescent="0.55000000000000004">
      <c r="A31" s="2">
        <v>46079</v>
      </c>
      <c r="B31">
        <v>1212</v>
      </c>
      <c r="C31">
        <v>31</v>
      </c>
    </row>
    <row r="32" spans="1:11" x14ac:dyDescent="0.55000000000000004">
      <c r="A32" s="2">
        <v>46079</v>
      </c>
      <c r="B32">
        <v>1233</v>
      </c>
      <c r="C32">
        <v>31</v>
      </c>
      <c r="D32">
        <v>29.94</v>
      </c>
      <c r="E32">
        <v>29.31</v>
      </c>
      <c r="F32">
        <v>28.48</v>
      </c>
      <c r="G32">
        <v>28</v>
      </c>
      <c r="H32">
        <v>28.46</v>
      </c>
      <c r="I32">
        <v>28.38</v>
      </c>
      <c r="J32">
        <v>22.52</v>
      </c>
    </row>
    <row r="33" spans="1:11" x14ac:dyDescent="0.55000000000000004">
      <c r="A33" s="2">
        <v>46079</v>
      </c>
      <c r="B33">
        <v>1303</v>
      </c>
      <c r="C33">
        <v>31</v>
      </c>
      <c r="D33">
        <v>30.56</v>
      </c>
      <c r="E33">
        <v>30.09</v>
      </c>
      <c r="F33">
        <v>29.13</v>
      </c>
      <c r="G33">
        <v>28.75</v>
      </c>
      <c r="H33">
        <v>29.16</v>
      </c>
      <c r="I33">
        <v>29.23</v>
      </c>
      <c r="J33">
        <v>22.43</v>
      </c>
    </row>
    <row r="34" spans="1:11" x14ac:dyDescent="0.55000000000000004">
      <c r="A34" s="2">
        <v>46079</v>
      </c>
      <c r="B34">
        <v>1332</v>
      </c>
      <c r="C34">
        <v>31</v>
      </c>
      <c r="D34">
        <v>30.82</v>
      </c>
      <c r="E34">
        <v>30.44</v>
      </c>
      <c r="F34">
        <v>29.56</v>
      </c>
      <c r="G34">
        <v>29.42</v>
      </c>
      <c r="H34">
        <v>29.63</v>
      </c>
      <c r="I34">
        <v>29.33</v>
      </c>
      <c r="J34">
        <v>22.44</v>
      </c>
    </row>
    <row r="35" spans="1:11" x14ac:dyDescent="0.55000000000000004">
      <c r="A35" s="2">
        <v>46079</v>
      </c>
      <c r="B35">
        <v>1400</v>
      </c>
      <c r="C35">
        <v>31.1</v>
      </c>
      <c r="D35">
        <v>30.89</v>
      </c>
      <c r="E35">
        <v>30.63</v>
      </c>
      <c r="F35">
        <v>29.88</v>
      </c>
      <c r="G35">
        <v>29.69</v>
      </c>
      <c r="H35">
        <v>29.78</v>
      </c>
      <c r="I35">
        <v>29.26</v>
      </c>
      <c r="J35">
        <v>22.46</v>
      </c>
    </row>
    <row r="36" spans="1:11" x14ac:dyDescent="0.55000000000000004">
      <c r="A36" s="2">
        <v>46079</v>
      </c>
      <c r="B36">
        <v>1431</v>
      </c>
      <c r="C36">
        <v>31</v>
      </c>
      <c r="D36">
        <v>30.93</v>
      </c>
      <c r="E36">
        <v>30.69</v>
      </c>
      <c r="F36">
        <v>29.88</v>
      </c>
      <c r="G36">
        <v>29.92</v>
      </c>
      <c r="H36">
        <v>30</v>
      </c>
      <c r="I36">
        <v>29.61</v>
      </c>
      <c r="J36">
        <v>22.65</v>
      </c>
    </row>
    <row r="37" spans="1:11" x14ac:dyDescent="0.55000000000000004">
      <c r="A37" s="2">
        <v>46079</v>
      </c>
      <c r="B37">
        <v>1459</v>
      </c>
      <c r="C37">
        <v>31</v>
      </c>
      <c r="D37">
        <v>30.96</v>
      </c>
      <c r="E37">
        <v>30.74</v>
      </c>
      <c r="F37">
        <v>30.08</v>
      </c>
      <c r="G37">
        <v>29.98</v>
      </c>
      <c r="H37">
        <v>29.97</v>
      </c>
      <c r="I37">
        <v>29.82</v>
      </c>
      <c r="J37">
        <v>22.95</v>
      </c>
    </row>
    <row r="38" spans="1:11" x14ac:dyDescent="0.55000000000000004">
      <c r="A38" s="2">
        <v>46079</v>
      </c>
      <c r="B38">
        <v>1533</v>
      </c>
      <c r="C38">
        <v>31</v>
      </c>
      <c r="D38">
        <v>30.89</v>
      </c>
      <c r="E38">
        <v>30.7</v>
      </c>
      <c r="F38">
        <v>29.89</v>
      </c>
      <c r="G38">
        <v>29.71</v>
      </c>
      <c r="H38">
        <v>29.98</v>
      </c>
      <c r="I38">
        <v>29.46</v>
      </c>
      <c r="J38">
        <v>22.93</v>
      </c>
    </row>
    <row r="39" spans="1:11" x14ac:dyDescent="0.55000000000000004">
      <c r="A39" s="2">
        <v>46080</v>
      </c>
      <c r="B39">
        <v>1145</v>
      </c>
      <c r="C39">
        <v>31</v>
      </c>
      <c r="D39">
        <v>30.99</v>
      </c>
      <c r="E39">
        <v>30.8</v>
      </c>
      <c r="F39">
        <v>30.22</v>
      </c>
      <c r="G39">
        <v>30.21</v>
      </c>
      <c r="H39">
        <v>30.1</v>
      </c>
      <c r="I39">
        <v>30.17</v>
      </c>
      <c r="J39">
        <v>23.71</v>
      </c>
      <c r="K39" t="s">
        <v>11</v>
      </c>
    </row>
    <row r="40" spans="1:11" x14ac:dyDescent="0.55000000000000004">
      <c r="A40" s="2">
        <v>46080</v>
      </c>
      <c r="B40">
        <v>1150</v>
      </c>
      <c r="C40">
        <v>33</v>
      </c>
    </row>
    <row r="41" spans="1:11" x14ac:dyDescent="0.55000000000000004">
      <c r="A41" s="2">
        <v>46080</v>
      </c>
      <c r="B41">
        <v>1305</v>
      </c>
      <c r="C41">
        <v>33</v>
      </c>
      <c r="D41">
        <v>32.770000000000003</v>
      </c>
      <c r="E41">
        <v>32.44</v>
      </c>
      <c r="F41">
        <v>31.72</v>
      </c>
      <c r="G41">
        <v>30.85</v>
      </c>
      <c r="H41">
        <v>31.59</v>
      </c>
      <c r="I41">
        <v>31.79</v>
      </c>
      <c r="J41">
        <v>24.29</v>
      </c>
    </row>
    <row r="42" spans="1:11" x14ac:dyDescent="0.55000000000000004">
      <c r="A42" s="2">
        <v>46080</v>
      </c>
      <c r="B42">
        <v>1446</v>
      </c>
      <c r="C42">
        <v>33</v>
      </c>
      <c r="D42">
        <v>32.56</v>
      </c>
      <c r="E42">
        <v>32.07</v>
      </c>
      <c r="F42">
        <v>31.3</v>
      </c>
      <c r="G42">
        <v>31.48</v>
      </c>
      <c r="H42">
        <v>31.02</v>
      </c>
      <c r="I42">
        <v>31.35</v>
      </c>
      <c r="J42">
        <v>22.95</v>
      </c>
    </row>
    <row r="43" spans="1:11" x14ac:dyDescent="0.55000000000000004">
      <c r="A43" s="2">
        <v>46083</v>
      </c>
      <c r="B43">
        <v>930</v>
      </c>
      <c r="C43">
        <v>33</v>
      </c>
      <c r="D43">
        <v>32.94</v>
      </c>
      <c r="E43">
        <v>32.71</v>
      </c>
      <c r="F43">
        <v>32.03</v>
      </c>
      <c r="G43">
        <v>32.07</v>
      </c>
      <c r="H43">
        <v>31.98</v>
      </c>
      <c r="I43">
        <v>32.07</v>
      </c>
      <c r="J43">
        <v>24.4</v>
      </c>
    </row>
    <row r="44" spans="1:11" x14ac:dyDescent="0.55000000000000004">
      <c r="A44" s="2">
        <v>46083</v>
      </c>
      <c r="B44">
        <v>1007</v>
      </c>
      <c r="C44">
        <v>35</v>
      </c>
    </row>
    <row r="45" spans="1:11" x14ac:dyDescent="0.55000000000000004">
      <c r="A45" s="2">
        <v>46083</v>
      </c>
      <c r="B45">
        <v>1047</v>
      </c>
      <c r="C45">
        <v>35</v>
      </c>
      <c r="D45">
        <v>34.369999999999997</v>
      </c>
      <c r="E45">
        <v>33.82</v>
      </c>
      <c r="F45">
        <v>32.72</v>
      </c>
      <c r="G45">
        <v>32.909999999999997</v>
      </c>
      <c r="H45">
        <v>32.28</v>
      </c>
      <c r="I45">
        <v>32.869999999999997</v>
      </c>
      <c r="J45">
        <v>25.19</v>
      </c>
    </row>
    <row r="46" spans="1:11" x14ac:dyDescent="0.55000000000000004">
      <c r="A46" s="2">
        <v>46083</v>
      </c>
      <c r="B46">
        <v>1125</v>
      </c>
      <c r="C46">
        <v>35</v>
      </c>
      <c r="D46">
        <v>34.72</v>
      </c>
      <c r="E46">
        <v>34.33</v>
      </c>
      <c r="F46">
        <v>33.340000000000003</v>
      </c>
      <c r="G46">
        <v>33.6</v>
      </c>
      <c r="H46">
        <v>33.5</v>
      </c>
      <c r="I46">
        <v>33.25</v>
      </c>
    </row>
    <row r="47" spans="1:11" x14ac:dyDescent="0.55000000000000004">
      <c r="A47" s="2">
        <v>46083</v>
      </c>
      <c r="B47">
        <v>1155</v>
      </c>
      <c r="C47">
        <v>35</v>
      </c>
      <c r="D47">
        <v>34.840000000000003</v>
      </c>
      <c r="E47">
        <v>34.479999999999997</v>
      </c>
      <c r="F47">
        <v>33.549999999999997</v>
      </c>
      <c r="G47">
        <v>33.68</v>
      </c>
      <c r="H47">
        <v>33.81</v>
      </c>
      <c r="I47">
        <v>33.49</v>
      </c>
      <c r="J47">
        <v>25.18</v>
      </c>
    </row>
    <row r="48" spans="1:11" x14ac:dyDescent="0.55000000000000004">
      <c r="A48" s="2">
        <v>46083</v>
      </c>
      <c r="B48">
        <v>1225</v>
      </c>
      <c r="C48">
        <v>35</v>
      </c>
      <c r="D48">
        <v>34.86</v>
      </c>
      <c r="E48">
        <v>34.53</v>
      </c>
      <c r="F48">
        <v>33.770000000000003</v>
      </c>
      <c r="G48">
        <v>33.74</v>
      </c>
      <c r="H48">
        <v>33.71</v>
      </c>
      <c r="I48">
        <v>33.549999999999997</v>
      </c>
      <c r="J48">
        <v>25.47</v>
      </c>
    </row>
    <row r="49" spans="1:11" x14ac:dyDescent="0.55000000000000004">
      <c r="A49" s="2">
        <v>46083</v>
      </c>
      <c r="B49">
        <v>1305</v>
      </c>
      <c r="C49">
        <v>35</v>
      </c>
      <c r="D49">
        <v>34.869999999999997</v>
      </c>
      <c r="E49">
        <v>34.57</v>
      </c>
      <c r="F49">
        <v>33.81</v>
      </c>
      <c r="G49">
        <v>33.85</v>
      </c>
      <c r="H49">
        <v>33.799999999999997</v>
      </c>
      <c r="I49">
        <v>33.57</v>
      </c>
      <c r="J49">
        <v>25.22</v>
      </c>
      <c r="K49" t="s">
        <v>11</v>
      </c>
    </row>
    <row r="50" spans="1:11" x14ac:dyDescent="0.55000000000000004">
      <c r="A50" s="2">
        <v>46083</v>
      </c>
      <c r="B50">
        <v>1320</v>
      </c>
      <c r="C50">
        <v>38</v>
      </c>
    </row>
    <row r="51" spans="1:11" x14ac:dyDescent="0.55000000000000004">
      <c r="A51" s="2">
        <v>46083</v>
      </c>
      <c r="B51">
        <v>1420</v>
      </c>
      <c r="C51">
        <v>38</v>
      </c>
      <c r="D51">
        <v>37.33</v>
      </c>
      <c r="E51">
        <v>36.79</v>
      </c>
      <c r="F51">
        <v>35.630000000000003</v>
      </c>
      <c r="G51">
        <v>35.630000000000003</v>
      </c>
      <c r="H51">
        <v>35.549999999999997</v>
      </c>
      <c r="I51">
        <v>35.25</v>
      </c>
      <c r="J51">
        <v>26.01</v>
      </c>
    </row>
    <row r="52" spans="1:11" x14ac:dyDescent="0.55000000000000004">
      <c r="A52" s="2">
        <v>46083</v>
      </c>
      <c r="B52">
        <v>1540</v>
      </c>
      <c r="C52">
        <v>38</v>
      </c>
      <c r="D52">
        <v>37.590000000000003</v>
      </c>
      <c r="E52">
        <v>37.18</v>
      </c>
      <c r="F52">
        <v>36.200000000000003</v>
      </c>
      <c r="G52">
        <v>36.26</v>
      </c>
      <c r="H52">
        <v>35.869999999999997</v>
      </c>
      <c r="I52">
        <v>36.119999999999997</v>
      </c>
      <c r="J52">
        <v>26.43</v>
      </c>
    </row>
    <row r="53" spans="1:11" x14ac:dyDescent="0.55000000000000004">
      <c r="A53" s="2">
        <v>46083</v>
      </c>
      <c r="B53">
        <v>1610</v>
      </c>
      <c r="C53">
        <v>38</v>
      </c>
      <c r="D53">
        <v>37.700000000000003</v>
      </c>
      <c r="E53">
        <v>37.299999999999997</v>
      </c>
      <c r="F53">
        <v>36.26</v>
      </c>
      <c r="G53">
        <v>36.42</v>
      </c>
      <c r="H53">
        <v>36.32</v>
      </c>
      <c r="I53">
        <v>36.42</v>
      </c>
      <c r="J53">
        <v>26.59</v>
      </c>
    </row>
    <row r="54" spans="1:11" x14ac:dyDescent="0.55000000000000004">
      <c r="A54" s="2">
        <v>46083</v>
      </c>
      <c r="B54">
        <v>1653</v>
      </c>
      <c r="C54">
        <v>38</v>
      </c>
      <c r="D54">
        <v>37.76</v>
      </c>
      <c r="E54">
        <v>37.409999999999997</v>
      </c>
      <c r="F54">
        <v>36.5</v>
      </c>
      <c r="G54">
        <v>36.57</v>
      </c>
      <c r="H54">
        <v>36.47</v>
      </c>
      <c r="I54">
        <v>36.299999999999997</v>
      </c>
      <c r="J54">
        <v>26.93</v>
      </c>
      <c r="K54" t="s">
        <v>11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view="pageLayout" zoomScaleNormal="100" workbookViewId="0">
      <selection activeCell="G26" sqref="G26"/>
    </sheetView>
  </sheetViews>
  <sheetFormatPr defaultRowHeight="14.4" x14ac:dyDescent="0.55000000000000004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Data_Raw</vt:lpstr>
      <vt:lpstr>NOTES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Christopher Jennings</dc:creator>
  <cp:lastModifiedBy>Sam Gurr</cp:lastModifiedBy>
  <dcterms:created xsi:type="dcterms:W3CDTF">2026-03-02T18:08:53Z</dcterms:created>
  <dcterms:modified xsi:type="dcterms:W3CDTF">2026-05-27T07:21:40Z</dcterms:modified>
</cp:coreProperties>
</file>